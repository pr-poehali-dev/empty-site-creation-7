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49" fontId="1" fillId="0" borderId="1" applyAlignment="1" pivotButton="0" quotePrefix="0" xfId="0">
      <alignment vertical="top" wrapText="1"/>
    </xf>
    <xf numFmtId="3" fontId="1" fillId="0" borderId="1" applyAlignment="1" pivotButton="0" quotePrefix="0" xfId="0">
      <alignment vertical="top" wrapText="1"/>
    </xf>
    <xf numFmtId="4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60" customWidth="1" min="3" max="3"/>
    <col width="12" customWidth="1" min="4" max="4"/>
    <col width="6" customWidth="1" min="5" max="5"/>
    <col width="11" customWidth="1" min="6" max="6"/>
    <col width="10" customWidth="1" min="7" max="7"/>
    <col width="13" customWidth="1" min="8" max="8"/>
    <col width="14" customWidth="1" min="9" max="9"/>
  </cols>
  <sheetData>
    <row r="1">
      <c r="A1" s="1" t="inlineStr">
        <is>
          <t>№</t>
        </is>
      </c>
      <c r="B1" s="1" t="inlineStr">
        <is>
          <t>Артикул</t>
        </is>
      </c>
      <c r="C1" s="1" t="inlineStr">
        <is>
          <t>Товары (работы, услуги)</t>
        </is>
      </c>
      <c r="D1" s="1" t="inlineStr">
        <is>
          <t>Количество</t>
        </is>
      </c>
      <c r="E1" s="1" t="inlineStr">
        <is>
          <t>Ед.</t>
        </is>
      </c>
      <c r="F1" s="1" t="inlineStr">
        <is>
          <t>Цена</t>
        </is>
      </c>
      <c r="G1" s="1" t="inlineStr">
        <is>
          <t>Ставка НДС</t>
        </is>
      </c>
      <c r="H1" s="1" t="inlineStr">
        <is>
          <t>Сумма НДС</t>
        </is>
      </c>
      <c r="I1" s="1" t="inlineStr">
        <is>
          <t>Сумма</t>
        </is>
      </c>
    </row>
    <row r="2">
      <c r="A2" s="2" t="n">
        <v>1</v>
      </c>
      <c r="B2" s="3" t="inlineStr">
        <is>
          <t>VK-C2022</t>
        </is>
      </c>
      <c r="C2" s="2" t="inlineStr">
        <is>
          <t>VK-C2022 (2) Набор кастрюль из стали,20x11.5 см, 22x12.5 см,24*13.5 см</t>
        </is>
      </c>
      <c r="D2" s="4" t="n">
        <v>1456</v>
      </c>
      <c r="E2" s="2" t="inlineStr">
        <is>
          <t>шт</t>
        </is>
      </c>
      <c r="F2" s="5" t="n">
        <v>200</v>
      </c>
      <c r="G2" s="2" t="inlineStr">
        <is>
          <t>22%</t>
        </is>
      </c>
      <c r="H2" s="5" t="n">
        <v>52511.48</v>
      </c>
      <c r="I2" s="5" t="n">
        <v>291200</v>
      </c>
    </row>
    <row r="3">
      <c r="A3" s="2" t="n">
        <v>2</v>
      </c>
      <c r="B3" s="3" t="inlineStr">
        <is>
          <t>SP-20252</t>
        </is>
      </c>
      <c r="C3" s="2" t="inlineStr">
        <is>
          <t>SP-20252 (6) Ковш аллюминевый с крышкой, 1,5л</t>
        </is>
      </c>
      <c r="D3" s="4" t="n">
        <v>1457</v>
      </c>
      <c r="E3" s="2" t="inlineStr">
        <is>
          <t>шт</t>
        </is>
      </c>
      <c r="F3" s="5" t="n">
        <v>72</v>
      </c>
      <c r="G3" s="2" t="inlineStr">
        <is>
          <t>22%</t>
        </is>
      </c>
      <c r="H3" s="5" t="n">
        <v>18917.11</v>
      </c>
      <c r="I3" s="5" t="n">
        <v>104904</v>
      </c>
    </row>
    <row r="4">
      <c r="A4" s="2" t="n">
        <v>3</v>
      </c>
      <c r="B4" s="3" t="inlineStr">
        <is>
          <t>F2-20251</t>
        </is>
      </c>
      <c r="C4" s="2" t="inlineStr">
        <is>
          <t>F2-20251 (6) Набор сковородок из аллюминия, размеры 24*5/28*5,5см</t>
        </is>
      </c>
      <c r="D4" s="4" t="n">
        <v>1457</v>
      </c>
      <c r="E4" s="2" t="inlineStr">
        <is>
          <t>шт</t>
        </is>
      </c>
      <c r="F4" s="5" t="n">
        <v>102</v>
      </c>
      <c r="G4" s="2" t="inlineStr">
        <is>
          <t>22%</t>
        </is>
      </c>
      <c r="H4" s="5" t="n">
        <v>26799.25</v>
      </c>
      <c r="I4" s="5" t="n">
        <v>148614</v>
      </c>
    </row>
    <row r="5">
      <c r="A5" s="2" t="n">
        <v>4</v>
      </c>
      <c r="B5" s="3" t="inlineStr">
        <is>
          <t>F1-20253</t>
        </is>
      </c>
      <c r="C5" s="2" t="inlineStr">
        <is>
          <t>F1-20253 (6) Сотейник из аллюминия,28*5,5см</t>
        </is>
      </c>
      <c r="D5" s="4" t="n">
        <v>1457</v>
      </c>
      <c r="E5" s="2" t="inlineStr">
        <is>
          <t>шт</t>
        </is>
      </c>
      <c r="F5" s="5" t="n">
        <v>85</v>
      </c>
      <c r="G5" s="2" t="inlineStr">
        <is>
          <t>22%</t>
        </is>
      </c>
      <c r="H5" s="5" t="n">
        <v>22332.7</v>
      </c>
      <c r="I5" s="5" t="n">
        <v>123845</v>
      </c>
    </row>
    <row r="6">
      <c r="A6" s="2" t="n">
        <v>5</v>
      </c>
      <c r="B6" s="3" t="inlineStr">
        <is>
          <t>KBF25-250101</t>
        </is>
      </c>
      <c r="C6" s="2" t="inlineStr">
        <is>
          <t>KBF25-250101 (6) Френч-пресс, 600мл,стекло/сталь</t>
        </is>
      </c>
      <c r="D6" s="4" t="n">
        <v>1449</v>
      </c>
      <c r="E6" s="2" t="inlineStr">
        <is>
          <t>шт</t>
        </is>
      </c>
      <c r="F6" s="5" t="n">
        <v>47</v>
      </c>
      <c r="G6" s="2" t="inlineStr">
        <is>
          <t>22%</t>
        </is>
      </c>
      <c r="H6" s="5" t="n">
        <v>12280.87</v>
      </c>
      <c r="I6" s="5" t="n">
        <v>68103</v>
      </c>
    </row>
    <row r="7">
      <c r="A7" s="2" t="n">
        <v>6</v>
      </c>
      <c r="B7" s="3" t="inlineStr">
        <is>
          <t>KBF25-250102-20</t>
        </is>
      </c>
      <c r="C7" s="2" t="inlineStr">
        <is>
          <t>KBF25-250102 (20) Набор кухонных принадлежностей(половник,ложка, толкушка,лопатка),нейлон</t>
        </is>
      </c>
      <c r="D7" s="4" t="n">
        <v>1457</v>
      </c>
      <c r="E7" s="2" t="inlineStr">
        <is>
          <t>шт</t>
        </is>
      </c>
      <c r="F7" s="5" t="n">
        <v>33</v>
      </c>
      <c r="G7" s="2" t="inlineStr">
        <is>
          <t>22%</t>
        </is>
      </c>
      <c r="H7" s="5" t="n">
        <v>8670.34</v>
      </c>
      <c r="I7" s="5" t="n">
        <v>48081</v>
      </c>
    </row>
    <row r="8">
      <c r="A8" s="2" t="n">
        <v>7</v>
      </c>
      <c r="B8" s="3" t="inlineStr">
        <is>
          <t>KBF25-250110-242</t>
        </is>
      </c>
      <c r="C8" s="2" t="inlineStr">
        <is>
          <t>KBF25-250110 (500) Овощечистка, размер 18,5*2,6см, нержавеющая сталь</t>
        </is>
      </c>
      <c r="D8" s="4" t="n">
        <v>1457</v>
      </c>
      <c r="E8" s="2" t="inlineStr">
        <is>
          <t>шт</t>
        </is>
      </c>
      <c r="F8" s="5" t="n">
        <v>5</v>
      </c>
      <c r="G8" s="2" t="inlineStr">
        <is>
          <t>22%</t>
        </is>
      </c>
      <c r="H8" s="5" t="n">
        <v>1313.69</v>
      </c>
      <c r="I8" s="5" t="n">
        <v>7285</v>
      </c>
    </row>
    <row r="9">
      <c r="A9" s="2" t="n">
        <v>8</v>
      </c>
      <c r="B9" s="3" t="inlineStr">
        <is>
          <t>KBF25-250103-64</t>
        </is>
      </c>
      <c r="C9" s="2" t="inlineStr">
        <is>
          <t>KBF25-250103 (64) Штопор, размер 17*5,2 см, пластик/сталь</t>
        </is>
      </c>
      <c r="D9" s="4" t="n">
        <v>1457</v>
      </c>
      <c r="E9" s="2" t="inlineStr">
        <is>
          <t>шт</t>
        </is>
      </c>
      <c r="F9" s="5" t="n">
        <v>15</v>
      </c>
      <c r="G9" s="2" t="inlineStr">
        <is>
          <t>22%</t>
        </is>
      </c>
      <c r="H9" s="5" t="n">
        <v>3941.07</v>
      </c>
      <c r="I9" s="5" t="n">
        <v>21855</v>
      </c>
    </row>
    <row r="10">
      <c r="A10" s="2" t="n">
        <v>9</v>
      </c>
      <c r="B10" s="3" t="inlineStr">
        <is>
          <t>KBF25-250104-50</t>
        </is>
      </c>
      <c r="C10" s="2" t="inlineStr">
        <is>
          <t>KBF25-250104 (50) Точилка для ножей, размер 29*7,6см</t>
        </is>
      </c>
      <c r="D10" s="4" t="n">
        <v>1457</v>
      </c>
      <c r="E10" s="2" t="inlineStr">
        <is>
          <t>шт</t>
        </is>
      </c>
      <c r="F10" s="5" t="n">
        <v>36</v>
      </c>
      <c r="G10" s="2" t="inlineStr">
        <is>
          <t>22%</t>
        </is>
      </c>
      <c r="H10" s="5" t="n">
        <v>9458.559999999999</v>
      </c>
      <c r="I10" s="5" t="n">
        <v>52452</v>
      </c>
    </row>
    <row r="11">
      <c r="A11" s="2" t="n">
        <v>10</v>
      </c>
      <c r="B11" s="3" t="inlineStr">
        <is>
          <t>J1702-20</t>
        </is>
      </c>
      <c r="C11" s="2" t="inlineStr">
        <is>
          <t>J1702 (20) Набор столовых приборов(ножи, вилки, ложки чайные, ложки столовые), сталь</t>
        </is>
      </c>
      <c r="D11" s="4" t="n">
        <v>1457</v>
      </c>
      <c r="E11" s="2" t="inlineStr">
        <is>
          <t>шт</t>
        </is>
      </c>
      <c r="F11" s="5" t="n">
        <v>73</v>
      </c>
      <c r="G11" s="2" t="inlineStr">
        <is>
          <t>22%</t>
        </is>
      </c>
      <c r="H11" s="5" t="n">
        <v>19179.85</v>
      </c>
      <c r="I11" s="5" t="n">
        <v>106361</v>
      </c>
    </row>
    <row r="12">
      <c r="A12" s="2" t="n">
        <v>11</v>
      </c>
      <c r="B12" s="3" t="inlineStr">
        <is>
          <t>KBF25-250105-44</t>
        </is>
      </c>
      <c r="C12" s="2" t="inlineStr">
        <is>
          <t>KBF25-250105 (44) Набор ножей,сталь</t>
        </is>
      </c>
      <c r="D12" s="4" t="n">
        <v>1462</v>
      </c>
      <c r="E12" s="2" t="inlineStr">
        <is>
          <t>шт</t>
        </is>
      </c>
      <c r="F12" s="5" t="n">
        <v>95</v>
      </c>
      <c r="G12" s="2" t="inlineStr">
        <is>
          <t>22%</t>
        </is>
      </c>
      <c r="H12" s="5" t="n">
        <v>25045.74</v>
      </c>
      <c r="I12" s="5" t="n">
        <v>138890</v>
      </c>
    </row>
    <row r="13">
      <c r="A13" s="2" t="n">
        <v>12</v>
      </c>
      <c r="B13" s="3" t="inlineStr">
        <is>
          <t>ZY-303S-12</t>
        </is>
      </c>
      <c r="C13" s="2" t="inlineStr">
        <is>
          <t>ZY-303S (12) Стеклянный электрический чайник,2 литра</t>
        </is>
      </c>
      <c r="D13" s="4" t="n">
        <v>1453</v>
      </c>
      <c r="E13" s="2" t="inlineStr">
        <is>
          <t>шт</t>
        </is>
      </c>
      <c r="F13" s="5" t="n">
        <v>50</v>
      </c>
      <c r="G13" s="2" t="inlineStr">
        <is>
          <t>22%</t>
        </is>
      </c>
      <c r="H13" s="5" t="n">
        <v>13100.82</v>
      </c>
      <c r="I13" s="5" t="n">
        <v>72650</v>
      </c>
    </row>
    <row r="14">
      <c r="A14" s="2" t="n">
        <v>13</v>
      </c>
      <c r="B14" s="3" t="inlineStr">
        <is>
          <t>KJ-229</t>
        </is>
      </c>
      <c r="C14" s="2" t="inlineStr">
        <is>
          <t>KJ-229 (3) Электрический гриль,220-240 В, 50/60 Гц, 2000 Вт</t>
        </is>
      </c>
      <c r="D14" s="4" t="n">
        <v>1456</v>
      </c>
      <c r="E14" s="2" t="inlineStr">
        <is>
          <t>шт</t>
        </is>
      </c>
      <c r="F14" s="5" t="n">
        <v>250</v>
      </c>
      <c r="G14" s="2" t="inlineStr">
        <is>
          <t>22%</t>
        </is>
      </c>
      <c r="H14" s="5" t="n">
        <v>65639.34</v>
      </c>
      <c r="I14" s="5" t="n">
        <v>364000</v>
      </c>
    </row>
    <row r="15">
      <c r="A15" s="2" t="n">
        <v>14</v>
      </c>
      <c r="B15" s="3" t="inlineStr">
        <is>
          <t>MK-666-4</t>
        </is>
      </c>
      <c r="C15" s="2" t="inlineStr">
        <is>
          <t>MK-666 (4) Кофеварка,  пластик/алюминий ,220-240 В,50/60 Гц,850 Вт</t>
        </is>
      </c>
      <c r="D15" s="4" t="n">
        <v>1455</v>
      </c>
      <c r="E15" s="2" t="inlineStr">
        <is>
          <t>шт</t>
        </is>
      </c>
      <c r="F15" s="5" t="n">
        <v>329.31</v>
      </c>
      <c r="G15" s="2" t="inlineStr">
        <is>
          <t>22%</t>
        </is>
      </c>
      <c r="H15" s="5" t="n">
        <v>86402.66</v>
      </c>
      <c r="I15" s="5" t="n">
        <v>479142</v>
      </c>
    </row>
    <row r="16">
      <c r="A16" s="2" t="n">
        <v>15</v>
      </c>
      <c r="B16" s="3" t="inlineStr">
        <is>
          <t>1337-50</t>
        </is>
      </c>
      <c r="C16" s="2" t="inlineStr">
        <is>
          <t>1337 (50) Держатель для полотенца, 48*7,8*10,5см</t>
        </is>
      </c>
      <c r="D16" s="4" t="n">
        <v>2925</v>
      </c>
      <c r="E16" s="2" t="inlineStr">
        <is>
          <t>шт</t>
        </is>
      </c>
      <c r="F16" s="5" t="n">
        <v>12</v>
      </c>
      <c r="G16" s="2" t="inlineStr">
        <is>
          <t>22%</t>
        </is>
      </c>
      <c r="H16" s="5" t="n">
        <v>6329.51</v>
      </c>
      <c r="I16" s="5" t="n">
        <v>35100</v>
      </c>
    </row>
    <row r="17">
      <c r="A17" s="2" t="n">
        <v>16</v>
      </c>
      <c r="B17" s="3" t="inlineStr">
        <is>
          <t>311G-001-TR</t>
        </is>
      </c>
      <c r="C17" s="2" t="inlineStr">
        <is>
          <t>311G-001-TR (6) Блюдо прямоугольное набор , размер 26,5 *17,5 см,2шт,фарфор, белый</t>
        </is>
      </c>
      <c r="D17" s="4" t="n">
        <v>1603</v>
      </c>
      <c r="E17" s="2" t="inlineStr">
        <is>
          <t>шт</t>
        </is>
      </c>
      <c r="F17" s="5" t="n">
        <v>31</v>
      </c>
      <c r="G17" s="2" t="inlineStr">
        <is>
          <t>22%</t>
        </is>
      </c>
      <c r="H17" s="5" t="n">
        <v>8961.030000000001</v>
      </c>
      <c r="I17" s="5" t="n">
        <v>49693</v>
      </c>
    </row>
    <row r="18">
      <c r="A18" s="2" t="n">
        <v>17</v>
      </c>
      <c r="B18" s="3" t="inlineStr">
        <is>
          <t>96E-070-M1</t>
        </is>
      </c>
      <c r="C18" s="2" t="inlineStr">
        <is>
          <t>96E-070-M1 (6) Набор кружек(6 шт), объем 340мл,белый, фарфор</t>
        </is>
      </c>
      <c r="D18" s="4" t="n">
        <v>1602</v>
      </c>
      <c r="E18" s="2" t="inlineStr">
        <is>
          <t>шт</t>
        </is>
      </c>
      <c r="F18" s="5" t="n">
        <v>43</v>
      </c>
      <c r="G18" s="2" t="inlineStr">
        <is>
          <t>22%</t>
        </is>
      </c>
      <c r="H18" s="5" t="n">
        <v>12422.07</v>
      </c>
      <c r="I18" s="5" t="n">
        <v>68886</v>
      </c>
    </row>
    <row r="19">
      <c r="A19" s="2" t="n">
        <v>18</v>
      </c>
      <c r="B19" s="3" t="inlineStr">
        <is>
          <t>311G-001-TSB</t>
        </is>
      </c>
      <c r="C19" s="2" t="inlineStr">
        <is>
          <t>311G-001-TSB (6) Набор чашка и блюдце ,объем 190мл,6шт, фарфор, белый</t>
        </is>
      </c>
      <c r="D19" s="4" t="n">
        <v>1602</v>
      </c>
      <c r="E19" s="2" t="inlineStr">
        <is>
          <t>шт</t>
        </is>
      </c>
      <c r="F19" s="5" t="n">
        <v>94</v>
      </c>
      <c r="G19" s="2" t="inlineStr">
        <is>
          <t>22%</t>
        </is>
      </c>
      <c r="H19" s="5" t="n">
        <v>27155.21</v>
      </c>
      <c r="I19" s="5" t="n">
        <v>150588</v>
      </c>
    </row>
    <row r="20">
      <c r="A20" s="2" t="n">
        <v>19</v>
      </c>
      <c r="B20" s="3" t="inlineStr">
        <is>
          <t>311G-001-SA</t>
        </is>
      </c>
      <c r="C20" s="2" t="inlineStr">
        <is>
          <t>311G-001-SA (24) Набор розеток для соуса , диаметр 9,5см,6шт, фарфор, белый</t>
        </is>
      </c>
      <c r="D20" s="4" t="n">
        <v>1603</v>
      </c>
      <c r="E20" s="2" t="inlineStr">
        <is>
          <t>шт</t>
        </is>
      </c>
      <c r="F20" s="5" t="n">
        <v>23</v>
      </c>
      <c r="G20" s="2" t="inlineStr">
        <is>
          <t>22%</t>
        </is>
      </c>
      <c r="H20" s="5" t="n">
        <v>6648.51</v>
      </c>
      <c r="I20" s="5" t="n">
        <v>36869</v>
      </c>
    </row>
    <row r="21">
      <c r="A21" s="2" t="n">
        <v>20</v>
      </c>
      <c r="B21" s="3" t="inlineStr">
        <is>
          <t>96E-070-B1</t>
        </is>
      </c>
      <c r="C21" s="2" t="inlineStr">
        <is>
          <t>96E-070-B1 (12) Набор салатников,диаметр 15,5см, 2шт, фарфор, белый</t>
        </is>
      </c>
      <c r="D21" s="4" t="n">
        <v>1603</v>
      </c>
      <c r="E21" s="2" t="inlineStr">
        <is>
          <t>шт</t>
        </is>
      </c>
      <c r="F21" s="5" t="n">
        <v>18</v>
      </c>
      <c r="G21" s="2" t="inlineStr">
        <is>
          <t>22%</t>
        </is>
      </c>
      <c r="H21" s="5" t="n">
        <v>5203.18</v>
      </c>
      <c r="I21" s="5" t="n">
        <v>28854</v>
      </c>
    </row>
    <row r="22">
      <c r="A22" s="2" t="n">
        <v>21</v>
      </c>
      <c r="B22" s="3" t="inlineStr">
        <is>
          <t>96E-070-SB1</t>
        </is>
      </c>
      <c r="C22" s="2" t="inlineStr">
        <is>
          <t>96E-070-SB1 (6) Набор салатников,диаметр 18см, 6шт, фарфор, белый</t>
        </is>
      </c>
      <c r="D22" s="4" t="n">
        <v>1597</v>
      </c>
      <c r="E22" s="2" t="inlineStr">
        <is>
          <t>шт</t>
        </is>
      </c>
      <c r="F22" s="5" t="n">
        <v>50</v>
      </c>
      <c r="G22" s="2" t="inlineStr">
        <is>
          <t>22%</t>
        </is>
      </c>
      <c r="H22" s="5" t="n">
        <v>14399.18</v>
      </c>
      <c r="I22" s="5" t="n">
        <v>79850</v>
      </c>
    </row>
    <row r="23">
      <c r="A23" s="2" t="n">
        <v>22</v>
      </c>
      <c r="B23" s="3" t="inlineStr">
        <is>
          <t>96E-070-SP1</t>
        </is>
      </c>
      <c r="C23" s="2" t="inlineStr">
        <is>
          <t>96E-070-SP1 (12) Набор салатников,диаметр 20,5см, 2шт, фарфор, белый</t>
        </is>
      </c>
      <c r="D23" s="4" t="n">
        <v>1603</v>
      </c>
      <c r="E23" s="2" t="inlineStr">
        <is>
          <t>шт</t>
        </is>
      </c>
      <c r="F23" s="5" t="n">
        <v>18</v>
      </c>
      <c r="G23" s="2" t="inlineStr">
        <is>
          <t>22%</t>
        </is>
      </c>
      <c r="H23" s="5" t="n">
        <v>5203.18</v>
      </c>
      <c r="I23" s="5" t="n">
        <v>28854</v>
      </c>
    </row>
    <row r="24">
      <c r="A24" s="2" t="n">
        <v>23</v>
      </c>
      <c r="B24" s="3" t="inlineStr">
        <is>
          <t>96E-070-S1</t>
        </is>
      </c>
      <c r="C24" s="2" t="inlineStr">
        <is>
          <t>96E-070-S1 (6) Набор тарелок десертных,диаметр 21,8см, 6шт, фарфор, белый</t>
        </is>
      </c>
      <c r="D24" s="4" t="n">
        <v>1597</v>
      </c>
      <c r="E24" s="2" t="inlineStr">
        <is>
          <t>шт</t>
        </is>
      </c>
      <c r="F24" s="5" t="n">
        <v>49</v>
      </c>
      <c r="G24" s="2" t="inlineStr">
        <is>
          <t>22%</t>
        </is>
      </c>
      <c r="H24" s="5" t="n">
        <v>14111.2</v>
      </c>
      <c r="I24" s="5" t="n">
        <v>78253</v>
      </c>
    </row>
    <row r="25">
      <c r="A25" s="2" t="n">
        <v>24</v>
      </c>
      <c r="B25" s="3" t="inlineStr">
        <is>
          <t>96E-070-D1</t>
        </is>
      </c>
      <c r="C25" s="2" t="inlineStr">
        <is>
          <t>96E-070-D1 (3) Набор тарелок подстановочных,диаметр 27,4см, 6шт, фарфор, белый</t>
        </is>
      </c>
      <c r="D25" s="4" t="n">
        <v>1603</v>
      </c>
      <c r="E25" s="2" t="inlineStr">
        <is>
          <t>шт</t>
        </is>
      </c>
      <c r="F25" s="5" t="n">
        <v>72</v>
      </c>
      <c r="G25" s="2" t="inlineStr">
        <is>
          <t>22%</t>
        </is>
      </c>
      <c r="H25" s="5" t="n">
        <v>20812.72</v>
      </c>
      <c r="I25" s="5" t="n">
        <v>115416</v>
      </c>
    </row>
    <row r="26">
      <c r="A26" s="2" t="n">
        <v>25</v>
      </c>
      <c r="B26" s="3" t="inlineStr">
        <is>
          <t>KBF25-250106-40</t>
        </is>
      </c>
      <c r="C26" s="2" t="inlineStr">
        <is>
          <t>KBF25-250106 (40) Фен для волос,1800 Вт</t>
        </is>
      </c>
      <c r="D26" s="4" t="n">
        <v>1506</v>
      </c>
      <c r="E26" s="2" t="inlineStr">
        <is>
          <t>шт</t>
        </is>
      </c>
      <c r="F26" s="5" t="n">
        <v>62</v>
      </c>
      <c r="G26" s="2" t="inlineStr">
        <is>
          <t>22%</t>
        </is>
      </c>
      <c r="H26" s="5" t="n">
        <v>16837.57</v>
      </c>
      <c r="I26" s="5" t="n">
        <v>93372</v>
      </c>
    </row>
    <row r="27">
      <c r="A27" s="2" t="n">
        <v>26</v>
      </c>
      <c r="B27" s="3" t="inlineStr">
        <is>
          <t>KBF25-250107-12</t>
        </is>
      </c>
      <c r="C27" s="2" t="inlineStr">
        <is>
          <t>KBF25-250107 (12) Ведро с педалью для ванной комнаты, 5 л, белое</t>
        </is>
      </c>
      <c r="D27" s="4" t="n">
        <v>1506</v>
      </c>
      <c r="E27" s="2" t="inlineStr">
        <is>
          <t>шт</t>
        </is>
      </c>
      <c r="F27" s="5" t="n">
        <v>33</v>
      </c>
      <c r="G27" s="2" t="inlineStr">
        <is>
          <t>22%</t>
        </is>
      </c>
      <c r="H27" s="5" t="n">
        <v>8961.93</v>
      </c>
      <c r="I27" s="5" t="n">
        <v>49698</v>
      </c>
    </row>
    <row r="28">
      <c r="A28" s="2" t="n">
        <v>27</v>
      </c>
      <c r="B28" s="3" t="inlineStr">
        <is>
          <t>KBF25-250108-6</t>
        </is>
      </c>
      <c r="C28" s="2" t="inlineStr">
        <is>
          <t>KBF25-250108 (6) Набор аксессуаров для ванной комнаты</t>
        </is>
      </c>
      <c r="D28" s="4" t="n">
        <v>1506</v>
      </c>
      <c r="E28" s="2" t="inlineStr">
        <is>
          <t>шт</t>
        </is>
      </c>
      <c r="F28" s="5" t="n">
        <v>55</v>
      </c>
      <c r="G28" s="2" t="inlineStr">
        <is>
          <t>22%</t>
        </is>
      </c>
      <c r="H28" s="5" t="n">
        <v>14936.56</v>
      </c>
      <c r="I28" s="5" t="n">
        <v>82830</v>
      </c>
    </row>
    <row r="29">
      <c r="A29" s="2" t="n">
        <v>28</v>
      </c>
      <c r="B29" s="3" t="inlineStr">
        <is>
          <t>88292-48</t>
        </is>
      </c>
      <c r="C29" s="2" t="inlineStr">
        <is>
          <t>88292 (48) Держатель для туалетной бумаги, металл, хром+белый, вакуумное крепление</t>
        </is>
      </c>
      <c r="D29" s="4" t="n">
        <v>1495</v>
      </c>
      <c r="E29" s="2" t="inlineStr">
        <is>
          <t>шт</t>
        </is>
      </c>
      <c r="F29" s="5" t="n">
        <v>10</v>
      </c>
      <c r="G29" s="2" t="inlineStr">
        <is>
          <t>22%</t>
        </is>
      </c>
      <c r="H29" s="5" t="n">
        <v>2695.9</v>
      </c>
      <c r="I29" s="5" t="n">
        <v>14950</v>
      </c>
    </row>
    <row r="30">
      <c r="A30" s="2" t="n">
        <v>29</v>
      </c>
      <c r="B30" s="3" t="inlineStr">
        <is>
          <t>88301-6</t>
        </is>
      </c>
      <c r="C30" s="2" t="inlineStr">
        <is>
          <t>88301 (6) Полка для ванной комнаты угловая, 20*20*30см, железо</t>
        </is>
      </c>
      <c r="D30" s="4" t="n">
        <v>1481</v>
      </c>
      <c r="E30" s="2" t="inlineStr">
        <is>
          <t>шт</t>
        </is>
      </c>
      <c r="F30" s="5" t="n">
        <v>29</v>
      </c>
      <c r="G30" s="2" t="inlineStr">
        <is>
          <t>22%</t>
        </is>
      </c>
      <c r="H30" s="5" t="n">
        <v>7744.9</v>
      </c>
      <c r="I30" s="5" t="n">
        <v>42949</v>
      </c>
    </row>
    <row r="31">
      <c r="A31" s="2" t="n">
        <v>30</v>
      </c>
      <c r="B31" s="3" t="inlineStr">
        <is>
          <t>KBF25-250109-50</t>
        </is>
      </c>
      <c r="C31" s="2" t="inlineStr">
        <is>
          <t>KBF25-250109 (50) Коврик для ванной комнаты, 50*80см,бежевый</t>
        </is>
      </c>
      <c r="D31" s="4" t="n">
        <v>1506</v>
      </c>
      <c r="E31" s="2" t="inlineStr">
        <is>
          <t>шт</t>
        </is>
      </c>
      <c r="F31" s="5" t="n">
        <v>25</v>
      </c>
      <c r="G31" s="2" t="inlineStr">
        <is>
          <t>22%</t>
        </is>
      </c>
      <c r="H31" s="5" t="n">
        <v>6789.34</v>
      </c>
      <c r="I31" s="5" t="n">
        <v>37650</v>
      </c>
    </row>
    <row r="32">
      <c r="A32" s="2" t="n">
        <v>31</v>
      </c>
      <c r="B32" s="3" t="inlineStr">
        <is>
          <t>BL005WT-50H-12</t>
        </is>
      </c>
      <c r="C32" s="2" t="inlineStr">
        <is>
          <t>BL005WT-50H (12) Корзина для белья, 48 литров</t>
        </is>
      </c>
      <c r="D32" s="4" t="n">
        <v>1492</v>
      </c>
      <c r="E32" s="2" t="inlineStr">
        <is>
          <t>шт</t>
        </is>
      </c>
      <c r="F32" s="5" t="n">
        <v>56</v>
      </c>
      <c r="G32" s="2" t="inlineStr">
        <is>
          <t>22%</t>
        </is>
      </c>
      <c r="H32" s="5" t="n">
        <v>15066.75</v>
      </c>
      <c r="I32" s="5" t="n">
        <v>83552</v>
      </c>
    </row>
    <row r="33">
      <c r="A33" s="2" t="n">
        <v>32</v>
      </c>
      <c r="B33" s="3" t="inlineStr">
        <is>
          <t>MZ2501</t>
        </is>
      </c>
      <c r="C33" s="2" t="inlineStr">
        <is>
          <t>MZ2501 (24) Искусственное растение ,высота 15см</t>
        </is>
      </c>
      <c r="D33" s="4" t="n">
        <v>359</v>
      </c>
      <c r="E33" s="2" t="inlineStr">
        <is>
          <t>шт</t>
        </is>
      </c>
      <c r="F33" s="5" t="n">
        <v>16</v>
      </c>
      <c r="G33" s="2" t="inlineStr">
        <is>
          <t>22%</t>
        </is>
      </c>
      <c r="H33" s="5" t="n">
        <v>1035.8</v>
      </c>
      <c r="I33" s="5" t="n">
        <v>5744</v>
      </c>
    </row>
    <row r="34">
      <c r="A34" s="2" t="n">
        <v>33</v>
      </c>
      <c r="B34" s="3" t="inlineStr">
        <is>
          <t>KA2-2309306</t>
        </is>
      </c>
      <c r="C34" s="2" t="inlineStr">
        <is>
          <t>KA2-2309306 (12) Декоративное настольное зеркало, высота 20,5см,пластик</t>
        </is>
      </c>
      <c r="D34" s="4" t="n">
        <v>371</v>
      </c>
      <c r="E34" s="2" t="inlineStr">
        <is>
          <t>шт</t>
        </is>
      </c>
      <c r="F34" s="5" t="n">
        <v>189</v>
      </c>
      <c r="G34" s="2" t="inlineStr">
        <is>
          <t>22%</t>
        </is>
      </c>
      <c r="H34" s="5" t="n">
        <v>12644.41</v>
      </c>
      <c r="I34" s="5" t="n">
        <v>70119</v>
      </c>
    </row>
    <row r="35">
      <c r="A35" s="2" t="n">
        <v>34</v>
      </c>
      <c r="B35" s="3" t="inlineStr">
        <is>
          <t>KB08-25022108</t>
        </is>
      </c>
      <c r="C35" s="2" t="inlineStr">
        <is>
          <t>KB08-25022108 (4) Декоративное настольное зеркало, высота 35см,железо</t>
        </is>
      </c>
      <c r="D35" s="4" t="n">
        <v>803</v>
      </c>
      <c r="E35" s="2" t="inlineStr">
        <is>
          <t>шт</t>
        </is>
      </c>
      <c r="F35" s="5" t="n">
        <v>36</v>
      </c>
      <c r="G35" s="2" t="inlineStr">
        <is>
          <t>22%</t>
        </is>
      </c>
      <c r="H35" s="5" t="n">
        <v>5212.92</v>
      </c>
      <c r="I35" s="5" t="n">
        <v>28908</v>
      </c>
    </row>
    <row r="36">
      <c r="A36" s="2" t="n">
        <v>35</v>
      </c>
      <c r="B36" s="3" t="inlineStr">
        <is>
          <t>KB405-H1962</t>
        </is>
      </c>
      <c r="C36" s="2" t="inlineStr">
        <is>
          <t>KB405-H1962 (12) Декоративная ваза, высота 20см, ассорти</t>
        </is>
      </c>
      <c r="D36" s="4" t="n">
        <v>239</v>
      </c>
      <c r="E36" s="2" t="inlineStr">
        <is>
          <t>шт</t>
        </is>
      </c>
      <c r="F36" s="5" t="n">
        <v>40</v>
      </c>
      <c r="G36" s="2" t="inlineStr">
        <is>
          <t>22%</t>
        </is>
      </c>
      <c r="H36" s="5" t="n">
        <v>1723.93</v>
      </c>
      <c r="I36" s="5" t="n">
        <v>9560</v>
      </c>
    </row>
    <row r="37">
      <c r="A37" s="2" t="n">
        <v>36</v>
      </c>
      <c r="B37" s="3" t="inlineStr">
        <is>
          <t>KB45-6898-1</t>
        </is>
      </c>
      <c r="C37" s="2" t="inlineStr">
        <is>
          <t>KB45-6898-1 (8) Стол журнальный, высота 35.5см, ассорти</t>
        </is>
      </c>
      <c r="D37" s="4" t="n">
        <v>519</v>
      </c>
      <c r="E37" s="2" t="inlineStr">
        <is>
          <t>шт</t>
        </is>
      </c>
      <c r="F37" s="5" t="n">
        <v>133</v>
      </c>
      <c r="G37" s="2" t="inlineStr">
        <is>
          <t>22%</t>
        </is>
      </c>
      <c r="H37" s="5" t="n">
        <v>12447.49</v>
      </c>
      <c r="I37" s="5" t="n">
        <v>69027</v>
      </c>
    </row>
    <row r="38">
      <c r="A38" s="2" t="n">
        <v>37</v>
      </c>
      <c r="B38" s="3" t="inlineStr">
        <is>
          <t>МС9379</t>
        </is>
      </c>
      <c r="C38" s="2" t="inlineStr">
        <is>
          <t>MC9379 (10) Часы настенные,цвет розовый,диаметр 30,5см</t>
        </is>
      </c>
      <c r="D38" s="4" t="n">
        <v>649</v>
      </c>
      <c r="E38" s="2" t="inlineStr">
        <is>
          <t>шт</t>
        </is>
      </c>
      <c r="F38" s="5" t="n">
        <v>248</v>
      </c>
      <c r="G38" s="2" t="inlineStr">
        <is>
          <t>22%</t>
        </is>
      </c>
      <c r="H38" s="5" t="n">
        <v>29024.13</v>
      </c>
      <c r="I38" s="5" t="n">
        <v>160952</v>
      </c>
    </row>
    <row r="39">
      <c r="A39" s="2" t="n">
        <v>38</v>
      </c>
      <c r="B39" s="3" t="inlineStr">
        <is>
          <t>KB85-25022111</t>
        </is>
      </c>
      <c r="C39" s="2" t="inlineStr">
        <is>
          <t>KB85-25022111 (24) Декоративная фоторамка,длина 20см,мдф, фиолетовый</t>
        </is>
      </c>
      <c r="D39" s="4" t="n">
        <v>143</v>
      </c>
      <c r="E39" s="2" t="inlineStr">
        <is>
          <t>шт</t>
        </is>
      </c>
      <c r="F39" s="5" t="n">
        <v>36</v>
      </c>
      <c r="G39" s="2" t="inlineStr">
        <is>
          <t>22%</t>
        </is>
      </c>
      <c r="H39" s="5" t="n">
        <v>928.33</v>
      </c>
      <c r="I39" s="5" t="n">
        <v>5148</v>
      </c>
    </row>
    <row r="40">
      <c r="A40" s="2" t="n">
        <v>39</v>
      </c>
      <c r="B40" s="3" t="inlineStr">
        <is>
          <t>KA2-2309094</t>
        </is>
      </c>
      <c r="C40" s="2" t="inlineStr">
        <is>
          <t>KA2-2309094 (12) Декоративное настольное зеркало, высота 17,7см,пластик</t>
        </is>
      </c>
      <c r="D40" s="4" t="n">
        <v>911</v>
      </c>
      <c r="E40" s="2" t="inlineStr">
        <is>
          <t>шт</t>
        </is>
      </c>
      <c r="F40" s="5" t="n">
        <v>238</v>
      </c>
      <c r="G40" s="2" t="inlineStr">
        <is>
          <t>22%</t>
        </is>
      </c>
      <c r="H40" s="5" t="n">
        <v>39098.33</v>
      </c>
      <c r="I40" s="5" t="n">
        <v>216818</v>
      </c>
    </row>
    <row r="41">
      <c r="A41" s="2" t="n">
        <v>40</v>
      </c>
      <c r="B41" s="3" t="inlineStr">
        <is>
          <t>KB85-25022112</t>
        </is>
      </c>
      <c r="C41" s="2" t="inlineStr">
        <is>
          <t>KB85-25022112 (24) Декоративная фоторамка,длина 20см,мдф, голубой</t>
        </is>
      </c>
      <c r="D41" s="4" t="n">
        <v>47</v>
      </c>
      <c r="E41" s="2" t="inlineStr">
        <is>
          <t>шт</t>
        </is>
      </c>
      <c r="F41" s="5" t="n">
        <v>18</v>
      </c>
      <c r="G41" s="2" t="inlineStr">
        <is>
          <t>22%</t>
        </is>
      </c>
      <c r="H41" s="5" t="n">
        <v>152.56</v>
      </c>
      <c r="I41" s="5" t="n">
        <v>846</v>
      </c>
    </row>
    <row r="42">
      <c r="A42" s="2" t="n">
        <v>41</v>
      </c>
      <c r="B42" s="3" t="inlineStr">
        <is>
          <t>KB85-25022113</t>
        </is>
      </c>
      <c r="C42" s="2" t="inlineStr">
        <is>
          <t>KB85-25022113 (24) Декоративная фоторамка,длина 20см,мдф, оранжевый</t>
        </is>
      </c>
      <c r="D42" s="4" t="n">
        <v>47</v>
      </c>
      <c r="E42" s="2" t="inlineStr">
        <is>
          <t>шт</t>
        </is>
      </c>
      <c r="F42" s="5" t="n">
        <v>18</v>
      </c>
      <c r="G42" s="2" t="inlineStr">
        <is>
          <t>22%</t>
        </is>
      </c>
      <c r="H42" s="5" t="n">
        <v>152.56</v>
      </c>
      <c r="I42" s="5" t="n">
        <v>846</v>
      </c>
    </row>
    <row r="43">
      <c r="A43" s="2" t="n">
        <v>42</v>
      </c>
      <c r="B43" s="3" t="inlineStr">
        <is>
          <t>KB142-052901</t>
        </is>
      </c>
      <c r="C43" s="2" t="inlineStr">
        <is>
          <t>KB142-052901 (4) Стол журнальный, высота 45.2см, белый</t>
        </is>
      </c>
      <c r="D43" s="4" t="n">
        <v>503</v>
      </c>
      <c r="E43" s="2" t="inlineStr">
        <is>
          <t>шт</t>
        </is>
      </c>
      <c r="F43" s="5" t="n">
        <v>147</v>
      </c>
      <c r="G43" s="2" t="inlineStr">
        <is>
          <t>22%</t>
        </is>
      </c>
      <c r="H43" s="5" t="n">
        <v>13333.62</v>
      </c>
      <c r="I43" s="5" t="n">
        <v>73941</v>
      </c>
    </row>
    <row r="44">
      <c r="A44" s="2" t="n">
        <v>43</v>
      </c>
      <c r="B44" s="3" t="inlineStr">
        <is>
          <t>KB405-0827</t>
        </is>
      </c>
      <c r="C44" s="2" t="inlineStr">
        <is>
          <t>KB405-0827 (36) Статуэтка "Олень",керамика, высота 25см</t>
        </is>
      </c>
      <c r="D44" s="4" t="n">
        <v>323</v>
      </c>
      <c r="E44" s="2" t="inlineStr">
        <is>
          <t>шт</t>
        </is>
      </c>
      <c r="F44" s="5" t="n">
        <v>90</v>
      </c>
      <c r="G44" s="2" t="inlineStr">
        <is>
          <t>22%</t>
        </is>
      </c>
      <c r="H44" s="5" t="n">
        <v>5242.13</v>
      </c>
      <c r="I44" s="5" t="n">
        <v>29070</v>
      </c>
    </row>
    <row r="45">
      <c r="A45" s="2" t="n">
        <v>44</v>
      </c>
      <c r="B45" s="3" t="inlineStr">
        <is>
          <t>DCA001</t>
        </is>
      </c>
      <c r="C45" s="2" t="inlineStr">
        <is>
          <t>DCA001 (36) Статуэтка "Медведь",керамика, высота 10см</t>
        </is>
      </c>
      <c r="D45" s="4" t="n">
        <v>503</v>
      </c>
      <c r="E45" s="2" t="inlineStr">
        <is>
          <t>шт</t>
        </is>
      </c>
      <c r="F45" s="5" t="n">
        <v>110</v>
      </c>
      <c r="G45" s="2" t="inlineStr">
        <is>
          <t>22%</t>
        </is>
      </c>
      <c r="H45" s="5" t="n">
        <v>9977.540000000001</v>
      </c>
      <c r="I45" s="5" t="n">
        <v>55330</v>
      </c>
    </row>
    <row r="46">
      <c r="A46" s="2" t="n">
        <v>45</v>
      </c>
      <c r="B46" s="3" t="inlineStr">
        <is>
          <t>DCA002</t>
        </is>
      </c>
      <c r="C46" s="2" t="inlineStr">
        <is>
          <t>DCA002 (36) Статуэтка "Бегемот",керамика,высота 14см</t>
        </is>
      </c>
      <c r="D46" s="4" t="n">
        <v>359</v>
      </c>
      <c r="E46" s="2" t="inlineStr">
        <is>
          <t>шт</t>
        </is>
      </c>
      <c r="F46" s="5" t="n">
        <v>98</v>
      </c>
      <c r="G46" s="2" t="inlineStr">
        <is>
          <t>22%</t>
        </is>
      </c>
      <c r="H46" s="5" t="n">
        <v>6344.3</v>
      </c>
      <c r="I46" s="5" t="n">
        <v>35182</v>
      </c>
    </row>
    <row r="47">
      <c r="A47" s="2" t="n">
        <v>46</v>
      </c>
      <c r="B47" s="3" t="inlineStr">
        <is>
          <t>KB405-25022110</t>
        </is>
      </c>
      <c r="C47" s="2" t="inlineStr">
        <is>
          <t>KB405-25022110 (20) Статуэтка "Мишка",высота 19см,зеленый</t>
        </is>
      </c>
      <c r="D47" s="4" t="n">
        <v>679</v>
      </c>
      <c r="E47" s="2" t="inlineStr">
        <is>
          <t>шт</t>
        </is>
      </c>
      <c r="F47" s="5" t="n">
        <v>197</v>
      </c>
      <c r="G47" s="2" t="inlineStr">
        <is>
          <t>22%</t>
        </is>
      </c>
      <c r="H47" s="5" t="n">
        <v>24121.2</v>
      </c>
      <c r="I47" s="5" t="n">
        <v>133763</v>
      </c>
    </row>
    <row r="48">
      <c r="A48" s="1" t="n"/>
      <c r="B48" s="6" t="n"/>
      <c r="C48" s="1" t="inlineStr">
        <is>
          <t>Итого</t>
        </is>
      </c>
      <c r="D48" s="7">
        <f>SUM(D2:D47)</f>
        <v/>
      </c>
      <c r="E48" s="1" t="n"/>
      <c r="F48" s="8" t="n"/>
      <c r="G48" s="1" t="n"/>
      <c r="H48" s="8">
        <f>SUM(H2:H47)</f>
        <v/>
      </c>
      <c r="I48" s="8">
        <f>SUM(I2:I47)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2026-10-16T08:47:12Z</dcterms:created>
  <dcterms:modified xmlns:dcterms="http://purl.org/dc/terms/" xmlns:xsi="http://www.w3.org/2001/XMLSchema-instance" xsi:type="dcterms:W3CDTF">2026-10-16T08:47:12Z</dcterms:modified>
</cp:coreProperties>
</file>