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№ п/п</t>
        </is>
      </c>
      <c r="B1" s="1" t="inlineStr">
        <is>
          <t>Наименование</t>
        </is>
      </c>
      <c r="C1" s="1" t="inlineStr">
        <is>
          <t>Характеристики</t>
        </is>
      </c>
      <c r="D1" s="1" t="inlineStr">
        <is>
          <t>Остатки из 1С на 07.10.2026 было</t>
        </is>
      </c>
      <c r="E1" s="1" t="inlineStr">
        <is>
          <t>Количество из счёта</t>
        </is>
      </c>
      <c r="F1" s="1" t="inlineStr">
        <is>
          <t>Цена с НДС</t>
        </is>
      </c>
      <c r="G1" s="1" t="inlineStr">
        <is>
          <t>Сумма было</t>
        </is>
      </c>
      <c r="H1" s="1" t="inlineStr">
        <is>
          <t>Сумма из счёта</t>
        </is>
      </c>
    </row>
    <row r="2">
      <c r="A2" s="2" t="n">
        <v>1</v>
      </c>
      <c r="B2" s="2" t="inlineStr">
        <is>
          <t>Набор из 3-х кастрюль VK-C2022</t>
        </is>
      </c>
      <c r="C2" s="2" t="inlineStr">
        <is>
          <t xml:space="preserve"> Набор кастрюль из стали,20x11.5 см, 22x12.5 см,24*13.5 см</t>
        </is>
      </c>
      <c r="D2" s="3" t="n">
        <v>1659</v>
      </c>
      <c r="E2" s="3" t="n">
        <v>1456</v>
      </c>
      <c r="F2" s="4" t="n">
        <v>903.0769230769231</v>
      </c>
      <c r="G2" s="4">
        <f>F2*D2</f>
        <v/>
      </c>
      <c r="H2" s="4">
        <f>F2*E2</f>
        <v/>
      </c>
    </row>
    <row r="3">
      <c r="A3" s="2" t="n">
        <v>2</v>
      </c>
      <c r="B3" s="2" t="inlineStr">
        <is>
          <t>Ковш SP-20252</t>
        </is>
      </c>
      <c r="C3" s="2" t="inlineStr">
        <is>
          <t>Ковш аллюминевый с крышкой, 1,5л</t>
        </is>
      </c>
      <c r="D3" s="3" t="n">
        <v>1660</v>
      </c>
      <c r="E3" s="3" t="n">
        <v>1457</v>
      </c>
      <c r="F3" s="4" t="n">
        <v>294.6153846153846</v>
      </c>
      <c r="G3" s="4">
        <f>F3*D3</f>
        <v/>
      </c>
      <c r="H3" s="4">
        <f>F3*E3</f>
        <v/>
      </c>
    </row>
    <row r="4">
      <c r="A4" s="2" t="n">
        <v>3</v>
      </c>
      <c r="B4" s="2" t="inlineStr">
        <is>
          <t>Набор из 2-х сковородок F2-20251</t>
        </is>
      </c>
      <c r="C4" s="2" t="inlineStr">
        <is>
          <t>Набор сковородок из аллюминия, размеры 24*5/28*5,5см</t>
        </is>
      </c>
      <c r="D4" s="3" t="n">
        <v>1660</v>
      </c>
      <c r="E4" s="3" t="n">
        <v>1457</v>
      </c>
      <c r="F4" s="4" t="n">
        <v>453.8461538461538</v>
      </c>
      <c r="G4" s="4">
        <f>F4*D4</f>
        <v/>
      </c>
      <c r="H4" s="4">
        <f>F4*E4</f>
        <v/>
      </c>
    </row>
    <row r="5">
      <c r="A5" s="2" t="n">
        <v>4</v>
      </c>
      <c r="B5" s="2" t="inlineStr">
        <is>
          <t>Сотейник F1-20253</t>
        </is>
      </c>
      <c r="C5" s="2" t="inlineStr">
        <is>
          <t>Сотейник из аллюминия,28*5,5см</t>
        </is>
      </c>
      <c r="D5" s="3" t="n">
        <v>1660</v>
      </c>
      <c r="E5" s="3" t="n">
        <v>1457</v>
      </c>
      <c r="F5" s="4" t="n">
        <v>349.2307692307692</v>
      </c>
      <c r="G5" s="4">
        <f>F5*D5</f>
        <v/>
      </c>
      <c r="H5" s="4">
        <f>F5*E5</f>
        <v/>
      </c>
    </row>
    <row r="6">
      <c r="A6" s="2" t="n">
        <v>5</v>
      </c>
      <c r="B6" s="2" t="inlineStr">
        <is>
          <t>Френч-пресс KBF25-250101</t>
        </is>
      </c>
      <c r="C6" s="2" t="inlineStr">
        <is>
          <t>Френч-пресс, 600мл,стекло/сталь</t>
        </is>
      </c>
      <c r="D6" s="3" t="n">
        <v>1652</v>
      </c>
      <c r="E6" s="3" t="n">
        <v>1449</v>
      </c>
      <c r="F6" s="4" t="n">
        <v>203.8461538461538</v>
      </c>
      <c r="G6" s="4">
        <f>F6*D6</f>
        <v/>
      </c>
      <c r="H6" s="4">
        <f>F6*E6</f>
        <v/>
      </c>
    </row>
    <row r="7">
      <c r="A7" s="2" t="n">
        <v>6</v>
      </c>
      <c r="B7" s="2" t="inlineStr">
        <is>
          <t>Половник, Лопатка, Ложка, Толкушка KBF25-250102-20</t>
        </is>
      </c>
      <c r="C7" s="2" t="inlineStr">
        <is>
          <t xml:space="preserve">Набор кухонных принадлежностей(половник,ложка, толкушка,лопатка),нейлон  KBF25-250102-20               </t>
        </is>
      </c>
      <c r="D7" s="3" t="n">
        <v>1660</v>
      </c>
      <c r="E7" s="3" t="n">
        <v>1457</v>
      </c>
      <c r="F7" s="4" t="n">
        <v>128.4615384615385</v>
      </c>
      <c r="G7" s="4">
        <f>F7*D7</f>
        <v/>
      </c>
      <c r="H7" s="4">
        <f>F7*E7</f>
        <v/>
      </c>
    </row>
    <row r="8">
      <c r="A8" s="2" t="n">
        <v>7</v>
      </c>
      <c r="B8" s="2" t="inlineStr">
        <is>
          <t>Нож KBF25-250110-242</t>
        </is>
      </c>
      <c r="C8" s="2" t="inlineStr">
        <is>
          <t>Овощечистка, размер 18,5*2,6см, нержавеющая сталь</t>
        </is>
      </c>
      <c r="D8" s="3" t="n">
        <v>1660</v>
      </c>
      <c r="E8" s="3" t="n">
        <v>1457</v>
      </c>
      <c r="F8" s="4" t="n">
        <v>14.65384615384615</v>
      </c>
      <c r="G8" s="4">
        <f>F8*D8</f>
        <v/>
      </c>
      <c r="H8" s="4">
        <f>F8*E8</f>
        <v/>
      </c>
    </row>
    <row r="9">
      <c r="A9" s="2" t="n">
        <v>8</v>
      </c>
      <c r="B9" s="2" t="inlineStr">
        <is>
          <t>Штопор KBF25-250103-64</t>
        </is>
      </c>
      <c r="C9" s="2" t="inlineStr">
        <is>
          <t>Штопор, размер 17*5,2 см, пластик/сталь</t>
        </is>
      </c>
      <c r="D9" s="3" t="n">
        <v>1660</v>
      </c>
      <c r="E9" s="3" t="n">
        <v>1457</v>
      </c>
      <c r="F9" s="4" t="n">
        <v>52.48461538461539</v>
      </c>
      <c r="G9" s="4">
        <f>F9*D9</f>
        <v/>
      </c>
      <c r="H9" s="4">
        <f>F9*E9</f>
        <v/>
      </c>
    </row>
    <row r="10">
      <c r="A10" s="2" t="n">
        <v>9</v>
      </c>
      <c r="B10" s="2" t="inlineStr">
        <is>
          <t>Ножеточка KBF25-250104-50</t>
        </is>
      </c>
      <c r="C10" s="2" t="inlineStr">
        <is>
          <t>Точилка для ножей, размер 29*7,6см</t>
        </is>
      </c>
      <c r="D10" s="3" t="n">
        <v>1660</v>
      </c>
      <c r="E10" s="3" t="n">
        <v>1457</v>
      </c>
      <c r="F10" s="4" t="n">
        <v>144.1076923076923</v>
      </c>
      <c r="G10" s="4">
        <f>F10*D10</f>
        <v/>
      </c>
      <c r="H10" s="4">
        <f>F10*E10</f>
        <v/>
      </c>
    </row>
    <row r="11">
      <c r="A11" s="2" t="n">
        <v>10</v>
      </c>
      <c r="B11" s="2" t="inlineStr">
        <is>
          <t>Набор столовых приборов ( в набор входит 4 прибора по 6 шт каждого, всего 24 предмета) J1702-20</t>
        </is>
      </c>
      <c r="C11" s="2" t="inlineStr">
        <is>
          <t xml:space="preserve">Набор столовых приборов(ножи, вилки, ложки чайные, ложки столовые), сталь:Ложка столовая 6 шт
 Вилка столовая  6 шт
Ложка чайная 6 шт
Нож столовый 6 шт
</t>
        </is>
      </c>
      <c r="D11" s="3" t="n">
        <v>1660</v>
      </c>
      <c r="E11" s="3" t="n">
        <v>1457</v>
      </c>
      <c r="F11" s="4" t="n">
        <v>301.5384615384615</v>
      </c>
      <c r="G11" s="4">
        <f>F11*D11</f>
        <v/>
      </c>
      <c r="H11" s="4">
        <f>F11*E11</f>
        <v/>
      </c>
    </row>
    <row r="12">
      <c r="A12" s="2" t="n">
        <v>11</v>
      </c>
      <c r="B12" s="2" t="inlineStr">
        <is>
          <t>Набор кухонных ножей ( в набор входит 4 предмета)KBF25-250105-44</t>
        </is>
      </c>
      <c r="C12" s="2" t="inlineStr">
        <is>
          <t>Набор ножей,сталь</t>
        </is>
      </c>
      <c r="D12" s="3" t="n">
        <v>1660</v>
      </c>
      <c r="E12" s="3" t="n">
        <v>1462</v>
      </c>
      <c r="F12" s="4" t="n">
        <v>376.9230769230769</v>
      </c>
      <c r="G12" s="4">
        <f>F12*D12</f>
        <v/>
      </c>
      <c r="H12" s="4">
        <f>F12*E12</f>
        <v/>
      </c>
    </row>
    <row r="13">
      <c r="A13" s="2" t="n">
        <v>12</v>
      </c>
      <c r="B13" s="2" t="inlineStr">
        <is>
          <t>Чайник ZY-303S-12</t>
        </is>
      </c>
      <c r="C13" s="2" t="inlineStr">
        <is>
          <t>Стеклянный электрический чайник,2 литра</t>
        </is>
      </c>
      <c r="D13" s="3" t="n">
        <v>1656</v>
      </c>
      <c r="E13" s="3" t="n">
        <v>1453</v>
      </c>
      <c r="F13" s="4" t="n">
        <v>186.1538461538462</v>
      </c>
      <c r="G13" s="4">
        <f>F13*D13</f>
        <v/>
      </c>
      <c r="H13" s="4">
        <f>F13*E13</f>
        <v/>
      </c>
    </row>
    <row r="14">
      <c r="A14" s="2" t="n">
        <v>13</v>
      </c>
      <c r="B14" s="2" t="inlineStr">
        <is>
          <t>Гриль KJ-229</t>
        </is>
      </c>
      <c r="C14" s="2" t="inlineStr">
        <is>
          <t>Электрический гриль,220-240 В, 50/60 Гц, 2000 Вт</t>
        </is>
      </c>
      <c r="D14" s="3" t="n">
        <v>1659</v>
      </c>
      <c r="E14" s="3" t="n">
        <v>1456</v>
      </c>
      <c r="F14" s="4" t="n">
        <v>1023.846153846154</v>
      </c>
      <c r="G14" s="4">
        <f>F14*D14</f>
        <v/>
      </c>
      <c r="H14" s="4">
        <f>F14*E14</f>
        <v/>
      </c>
    </row>
    <row r="15">
      <c r="A15" s="2" t="n">
        <v>14</v>
      </c>
      <c r="B15" s="2" t="inlineStr">
        <is>
          <t>Кофеварка MK-666-4</t>
        </is>
      </c>
      <c r="C15" s="2" t="inlineStr">
        <is>
          <t>Кофеварка,  пластик/алюминий ,220-240 В,50/60 Гц,850 Вт</t>
        </is>
      </c>
      <c r="D15" s="3" t="n">
        <v>1658</v>
      </c>
      <c r="E15" s="3" t="n">
        <v>1455</v>
      </c>
      <c r="F15" s="4" t="n">
        <v>1384.946153846154</v>
      </c>
      <c r="G15" s="4">
        <f>F15*D15</f>
        <v/>
      </c>
      <c r="H15" s="4">
        <f>F15*E15</f>
        <v/>
      </c>
    </row>
    <row r="16">
      <c r="A16" s="2" t="n">
        <v>15</v>
      </c>
      <c r="B16" s="2" t="inlineStr">
        <is>
          <t>Держатель для полотенца 1337-50</t>
        </is>
      </c>
      <c r="C16" s="2" t="inlineStr">
        <is>
          <t>Держатель для полотенца, 48*7,8*10,5см</t>
        </is>
      </c>
      <c r="D16" s="3" t="n">
        <v>3320</v>
      </c>
      <c r="E16" s="3" t="n">
        <v>2925</v>
      </c>
      <c r="F16" s="4" t="n">
        <v>51.79230769230769</v>
      </c>
      <c r="G16" s="4">
        <f>F16*D16</f>
        <v/>
      </c>
      <c r="H16" s="4">
        <f>F16*E16</f>
        <v/>
      </c>
    </row>
    <row r="17">
      <c r="A17" s="2" t="n">
        <v>16</v>
      </c>
      <c r="B17" s="2" t="inlineStr">
        <is>
          <t>Блюдо прямоугольное набор , размер 26,5 *17,5 см,2шт,фарфор, белый</t>
        </is>
      </c>
      <c r="C17" s="2" t="inlineStr">
        <is>
          <t>311G-001-TR</t>
        </is>
      </c>
      <c r="D17" s="3" t="n">
        <v>1809</v>
      </c>
      <c r="E17" s="3" t="n">
        <v>1603</v>
      </c>
      <c r="F17" s="4" t="n">
        <v>124</v>
      </c>
      <c r="G17" s="4">
        <f>F17*D17</f>
        <v/>
      </c>
      <c r="H17" s="4">
        <f>F17*E17</f>
        <v/>
      </c>
    </row>
    <row r="18">
      <c r="A18" s="2" t="n">
        <v>17</v>
      </c>
      <c r="B18" s="2" t="inlineStr">
        <is>
          <t>Набор кружек(6 шт), объем 340мл,белый, фарфор</t>
        </is>
      </c>
      <c r="C18" s="2" t="inlineStr">
        <is>
          <t>96E-070-M1</t>
        </is>
      </c>
      <c r="D18" s="3" t="n">
        <v>1808</v>
      </c>
      <c r="E18" s="3" t="n">
        <v>1602</v>
      </c>
      <c r="F18" s="4" t="n">
        <v>174</v>
      </c>
      <c r="G18" s="4">
        <f>F18*D18</f>
        <v/>
      </c>
      <c r="H18" s="4">
        <f>F18*E18</f>
        <v/>
      </c>
    </row>
    <row r="19">
      <c r="A19" s="2" t="n">
        <v>18</v>
      </c>
      <c r="B19" s="2" t="inlineStr">
        <is>
          <t>Набор чашка и блюдце ,объем 190мл,6шт, фарфор, белый</t>
        </is>
      </c>
      <c r="C19" s="2" t="inlineStr">
        <is>
          <t>311G-001-TSB</t>
        </is>
      </c>
      <c r="D19" s="3" t="n">
        <v>1808</v>
      </c>
      <c r="E19" s="3" t="n">
        <v>1602</v>
      </c>
      <c r="F19" s="4" t="n">
        <v>394</v>
      </c>
      <c r="G19" s="4">
        <f>F19*D19</f>
        <v/>
      </c>
      <c r="H19" s="4">
        <f>F19*E19</f>
        <v/>
      </c>
    </row>
    <row r="20">
      <c r="A20" s="2" t="n">
        <v>19</v>
      </c>
      <c r="B20" s="2" t="inlineStr">
        <is>
          <t>Набор розеток для соуса , диаметр 9,5см,6шт, фарфор, белый</t>
        </is>
      </c>
      <c r="C20" s="2" t="inlineStr">
        <is>
          <t>311G-001-SA</t>
        </is>
      </c>
      <c r="D20" s="3" t="n">
        <v>1809</v>
      </c>
      <c r="E20" s="3" t="n">
        <v>1603</v>
      </c>
      <c r="F20" s="4" t="n">
        <v>92</v>
      </c>
      <c r="G20" s="4">
        <f>F20*D20</f>
        <v/>
      </c>
      <c r="H20" s="4">
        <f>F20*E20</f>
        <v/>
      </c>
    </row>
    <row r="21">
      <c r="A21" s="2" t="n">
        <v>20</v>
      </c>
      <c r="B21" s="2" t="inlineStr">
        <is>
          <t xml:space="preserve"> Набор салатников,диаметр 15,5см, 2шт, фарфор, белый</t>
        </is>
      </c>
      <c r="C21" s="2" t="inlineStr">
        <is>
          <t>96E-070-B1</t>
        </is>
      </c>
      <c r="D21" s="3" t="n">
        <v>1809</v>
      </c>
      <c r="E21" s="3" t="n">
        <v>1603</v>
      </c>
      <c r="F21" s="4" t="n">
        <v>72</v>
      </c>
      <c r="G21" s="4">
        <f>F21*D21</f>
        <v/>
      </c>
      <c r="H21" s="4">
        <f>F21*E21</f>
        <v/>
      </c>
    </row>
    <row r="22">
      <c r="A22" s="2" t="n">
        <v>21</v>
      </c>
      <c r="B22" s="2" t="inlineStr">
        <is>
          <t>Набор салатников,диаметр 18см, 6шт, фарфор, белый</t>
        </is>
      </c>
      <c r="C22" s="2" t="inlineStr">
        <is>
          <t>96E-070-SB1</t>
        </is>
      </c>
      <c r="D22" s="3" t="n">
        <v>1803</v>
      </c>
      <c r="E22" s="3" t="n">
        <v>1597</v>
      </c>
      <c r="F22" s="4" t="n">
        <v>200</v>
      </c>
      <c r="G22" s="4">
        <f>F22*D22</f>
        <v/>
      </c>
      <c r="H22" s="4">
        <f>F22*E22</f>
        <v/>
      </c>
    </row>
    <row r="23">
      <c r="A23" s="2" t="n">
        <v>22</v>
      </c>
      <c r="B23" s="2" t="inlineStr">
        <is>
          <t>Набор салатников,диаметр 20,5см, 2шт, фарфор, белый</t>
        </is>
      </c>
      <c r="C23" s="2" t="inlineStr">
        <is>
          <t>96E-070-SP1</t>
        </is>
      </c>
      <c r="D23" s="3" t="n">
        <v>1809</v>
      </c>
      <c r="E23" s="3" t="n">
        <v>1603</v>
      </c>
      <c r="F23" s="4" t="n">
        <v>74</v>
      </c>
      <c r="G23" s="4">
        <f>F23*D23</f>
        <v/>
      </c>
      <c r="H23" s="4">
        <f>F23*E23</f>
        <v/>
      </c>
    </row>
    <row r="24">
      <c r="A24" s="2" t="n">
        <v>23</v>
      </c>
      <c r="B24" s="2" t="inlineStr">
        <is>
          <t>Набор тарелок десертных,диаметр 21,8см, 6шт, фарфор, белый</t>
        </is>
      </c>
      <c r="C24" s="2" t="inlineStr">
        <is>
          <t>96E-070-S1</t>
        </is>
      </c>
      <c r="D24" s="3" t="n">
        <v>1803</v>
      </c>
      <c r="E24" s="3" t="n">
        <v>1597</v>
      </c>
      <c r="F24" s="4" t="n">
        <v>196</v>
      </c>
      <c r="G24" s="4">
        <f>F24*D24</f>
        <v/>
      </c>
      <c r="H24" s="4">
        <f>F24*E24</f>
        <v/>
      </c>
    </row>
    <row r="25">
      <c r="A25" s="2" t="n">
        <v>24</v>
      </c>
      <c r="B25" s="2" t="inlineStr">
        <is>
          <t>Набор тарелок подстановочных,диаметр 27,4см, 6шт, фарфор, белый</t>
        </is>
      </c>
      <c r="C25" s="2" t="inlineStr">
        <is>
          <t>96E-070-D1</t>
        </is>
      </c>
      <c r="D25" s="3" t="n">
        <v>1809</v>
      </c>
      <c r="E25" s="3" t="n">
        <v>1603</v>
      </c>
      <c r="F25" s="4" t="n">
        <v>286</v>
      </c>
      <c r="G25" s="4">
        <f>F25*D25</f>
        <v/>
      </c>
      <c r="H25" s="4">
        <f>F25*E25</f>
        <v/>
      </c>
    </row>
    <row r="26">
      <c r="A26" s="2" t="n">
        <v>25</v>
      </c>
      <c r="B26" s="2" t="inlineStr">
        <is>
          <t>Фен для волос,1800 Вт</t>
        </is>
      </c>
      <c r="C26" s="2" t="inlineStr">
        <is>
          <t>KBF25-250106-40</t>
        </is>
      </c>
      <c r="D26" s="3" t="n">
        <v>1698</v>
      </c>
      <c r="E26" s="3" t="n">
        <v>1506</v>
      </c>
      <c r="F26" s="4" t="n">
        <v>250</v>
      </c>
      <c r="G26" s="4">
        <f>F26*D26</f>
        <v/>
      </c>
      <c r="H26" s="4">
        <f>F26*E26</f>
        <v/>
      </c>
    </row>
    <row r="27">
      <c r="A27" s="2" t="n">
        <v>26</v>
      </c>
      <c r="B27" s="2" t="inlineStr">
        <is>
          <t>Ведро с педалью для ванной комнаты, 5Л,28*20.5cm</t>
        </is>
      </c>
      <c r="C27" s="2" t="inlineStr">
        <is>
          <t>KBF25-250107-12</t>
        </is>
      </c>
      <c r="D27" s="3" t="n">
        <v>1698</v>
      </c>
      <c r="E27" s="3" t="n">
        <v>1506</v>
      </c>
      <c r="F27" s="4" t="n">
        <v>134</v>
      </c>
      <c r="G27" s="4">
        <f>F27*D27</f>
        <v/>
      </c>
      <c r="H27" s="4">
        <f>F27*E27</f>
        <v/>
      </c>
    </row>
    <row r="28">
      <c r="A28" s="2" t="n">
        <v>27</v>
      </c>
      <c r="B28" s="2" t="inlineStr">
        <is>
          <t>Набор аксессуаров для ванной комнаты
 Дозатор для жидкого мыла: 11 * 11,5 * 16 см  
Чашка: 10,5 * 9 см
Мыльница:12.3*8.5*2.4 см
Набор ершиков для унитаза: 12 * 11/36 см (общая высота) + высота щетки: 25 см</t>
        </is>
      </c>
      <c r="C28" s="2" t="inlineStr">
        <is>
          <t>KBF25-250108-6</t>
        </is>
      </c>
      <c r="D28" s="3" t="n">
        <v>1698</v>
      </c>
      <c r="E28" s="3" t="n">
        <v>1506</v>
      </c>
      <c r="F28" s="4" t="n">
        <v>220</v>
      </c>
      <c r="G28" s="4">
        <f>F28*D28</f>
        <v/>
      </c>
      <c r="H28" s="4">
        <f>F28*E28</f>
        <v/>
      </c>
    </row>
    <row r="29">
      <c r="A29" s="2" t="n">
        <v>28</v>
      </c>
      <c r="B29" s="2" t="inlineStr">
        <is>
          <t>Держатель для туалетной бумаги, металл, хром+белый, вакуумное крепление</t>
        </is>
      </c>
      <c r="C29" s="2" t="inlineStr">
        <is>
          <t>88292-48</t>
        </is>
      </c>
      <c r="D29" s="3" t="n">
        <v>1687</v>
      </c>
      <c r="E29" s="3" t="n">
        <v>1495</v>
      </c>
      <c r="F29" s="4" t="n">
        <v>40</v>
      </c>
      <c r="G29" s="4">
        <f>F29*D29</f>
        <v/>
      </c>
      <c r="H29" s="4">
        <f>F29*E29</f>
        <v/>
      </c>
    </row>
    <row r="30">
      <c r="A30" s="2" t="n">
        <v>29</v>
      </c>
      <c r="B30" s="2" t="inlineStr">
        <is>
          <t>Полка для ванной комнаты угловая, 20*20*30см, железо</t>
        </is>
      </c>
      <c r="C30" s="2" t="inlineStr">
        <is>
          <t>88301-6</t>
        </is>
      </c>
      <c r="D30" s="3" t="n">
        <v>1673</v>
      </c>
      <c r="E30" s="3" t="n">
        <v>1481</v>
      </c>
      <c r="F30" s="4" t="n">
        <v>114</v>
      </c>
      <c r="G30" s="4">
        <f>F30*D30</f>
        <v/>
      </c>
      <c r="H30" s="4">
        <f>F30*E30</f>
        <v/>
      </c>
    </row>
    <row r="31">
      <c r="A31" s="2" t="n">
        <v>30</v>
      </c>
      <c r="B31" s="2" t="inlineStr">
        <is>
          <t>Коврик для ванной комнаты, 50*80см,бежевый</t>
        </is>
      </c>
      <c r="C31" s="2" t="inlineStr">
        <is>
          <t>KBF25-250109-50</t>
        </is>
      </c>
      <c r="D31" s="3" t="n">
        <v>1698</v>
      </c>
      <c r="E31" s="3" t="n">
        <v>1506</v>
      </c>
      <c r="F31" s="4" t="n">
        <v>100</v>
      </c>
      <c r="G31" s="4">
        <f>F31*D31</f>
        <v/>
      </c>
      <c r="H31" s="4">
        <f>F31*E31</f>
        <v/>
      </c>
    </row>
    <row r="32">
      <c r="A32" s="2" t="n">
        <v>31</v>
      </c>
      <c r="B32" s="2" t="inlineStr">
        <is>
          <t xml:space="preserve"> Корзина для белья, 48 литров</t>
        </is>
      </c>
      <c r="C32" s="2" t="inlineStr">
        <is>
          <t>BL005WT-50H-12</t>
        </is>
      </c>
      <c r="D32" s="3" t="n">
        <v>1684</v>
      </c>
      <c r="E32" s="3" t="n">
        <v>1492</v>
      </c>
      <c r="F32" s="4" t="n">
        <v>224</v>
      </c>
      <c r="G32" s="4">
        <f>F32*D32</f>
        <v/>
      </c>
      <c r="H32" s="4">
        <f>F32*E32</f>
        <v/>
      </c>
    </row>
    <row r="33">
      <c r="A33" s="2" t="n">
        <v>32</v>
      </c>
      <c r="B33" s="2" t="n"/>
      <c r="C33" s="2" t="inlineStr">
        <is>
          <t>MZ2501</t>
        </is>
      </c>
      <c r="D33" s="3" t="n">
        <v>359</v>
      </c>
      <c r="E33" s="3" t="n">
        <v>359</v>
      </c>
      <c r="F33" s="4" t="n">
        <v>64</v>
      </c>
      <c r="G33" s="4">
        <f>F33*D33</f>
        <v/>
      </c>
      <c r="H33" s="4">
        <f>F33*E33</f>
        <v/>
      </c>
    </row>
    <row r="34">
      <c r="A34" s="2" t="n">
        <v>33</v>
      </c>
      <c r="B34" s="2" t="n"/>
      <c r="C34" s="2" t="inlineStr">
        <is>
          <t>KA2-2309306</t>
        </is>
      </c>
      <c r="D34" s="3" t="n">
        <v>371</v>
      </c>
      <c r="E34" s="3" t="n">
        <v>371</v>
      </c>
      <c r="F34" s="4" t="n">
        <v>70</v>
      </c>
      <c r="G34" s="4">
        <f>F34*D34</f>
        <v/>
      </c>
      <c r="H34" s="4">
        <f>F34*E34</f>
        <v/>
      </c>
    </row>
    <row r="35">
      <c r="A35" s="2" t="n">
        <v>34</v>
      </c>
      <c r="B35" s="2" t="n"/>
      <c r="C35" s="2" t="inlineStr">
        <is>
          <t>KB08-25022108</t>
        </is>
      </c>
      <c r="D35" s="3" t="n">
        <v>803</v>
      </c>
      <c r="E35" s="3" t="n">
        <v>803</v>
      </c>
      <c r="F35" s="4" t="n">
        <v>144</v>
      </c>
      <c r="G35" s="4">
        <f>F35*D35</f>
        <v/>
      </c>
      <c r="H35" s="4">
        <f>F35*E35</f>
        <v/>
      </c>
    </row>
    <row r="36">
      <c r="A36" s="2" t="n">
        <v>35</v>
      </c>
      <c r="B36" s="2" t="n"/>
      <c r="C36" s="2" t="inlineStr">
        <is>
          <t>KB405-H1962</t>
        </is>
      </c>
      <c r="D36" s="3" t="n">
        <v>239</v>
      </c>
      <c r="E36" s="3" t="n">
        <v>239</v>
      </c>
      <c r="F36" s="4" t="n">
        <v>160</v>
      </c>
      <c r="G36" s="4">
        <f>F36*D36</f>
        <v/>
      </c>
      <c r="H36" s="4">
        <f>F36*E36</f>
        <v/>
      </c>
    </row>
    <row r="37">
      <c r="A37" s="2" t="n">
        <v>36</v>
      </c>
      <c r="B37" s="2" t="n"/>
      <c r="C37" s="2" t="inlineStr">
        <is>
          <t>KB45-6898-1</t>
        </is>
      </c>
      <c r="D37" s="3" t="n">
        <v>519</v>
      </c>
      <c r="E37" s="3" t="n">
        <v>519</v>
      </c>
      <c r="F37" s="4" t="n">
        <v>226</v>
      </c>
      <c r="G37" s="4">
        <f>F37*D37</f>
        <v/>
      </c>
      <c r="H37" s="4">
        <f>F37*E37</f>
        <v/>
      </c>
    </row>
    <row r="38">
      <c r="A38" s="2" t="n">
        <v>37</v>
      </c>
      <c r="B38" s="2" t="n"/>
      <c r="C38" s="2" t="inlineStr">
        <is>
          <t>МС9379</t>
        </is>
      </c>
      <c r="D38" s="3" t="n">
        <v>649</v>
      </c>
      <c r="E38" s="3" t="n">
        <v>649</v>
      </c>
      <c r="F38" s="4" t="n">
        <v>116</v>
      </c>
      <c r="G38" s="4">
        <f>F38*D38</f>
        <v/>
      </c>
      <c r="H38" s="4">
        <f>F38*E38</f>
        <v/>
      </c>
    </row>
    <row r="39">
      <c r="A39" s="2" t="n">
        <v>38</v>
      </c>
      <c r="B39" s="2" t="n"/>
      <c r="C39" s="2" t="inlineStr">
        <is>
          <t>KB85-25022111</t>
        </is>
      </c>
      <c r="D39" s="3" t="n">
        <v>143</v>
      </c>
      <c r="E39" s="3" t="n">
        <v>143</v>
      </c>
      <c r="F39" s="4" t="n">
        <v>56</v>
      </c>
      <c r="G39" s="4">
        <f>F39*D39</f>
        <v/>
      </c>
      <c r="H39" s="4">
        <f>F39*E39</f>
        <v/>
      </c>
    </row>
    <row r="40">
      <c r="A40" s="2" t="n">
        <v>39</v>
      </c>
      <c r="B40" s="2" t="n"/>
      <c r="C40" s="2" t="inlineStr">
        <is>
          <t>KA2-2309094</t>
        </is>
      </c>
      <c r="D40" s="3" t="n">
        <v>911</v>
      </c>
      <c r="E40" s="3" t="n">
        <v>911</v>
      </c>
      <c r="F40" s="4" t="n">
        <v>80</v>
      </c>
      <c r="G40" s="4">
        <f>F40*D40</f>
        <v/>
      </c>
      <c r="H40" s="4">
        <f>F40*E40</f>
        <v/>
      </c>
    </row>
    <row r="41">
      <c r="A41" s="2" t="n">
        <v>40</v>
      </c>
      <c r="B41" s="2" t="n"/>
      <c r="C41" s="2" t="inlineStr">
        <is>
          <t>KB85-25022112</t>
        </is>
      </c>
      <c r="D41" s="3" t="n">
        <v>47</v>
      </c>
      <c r="E41" s="3" t="n">
        <v>47</v>
      </c>
      <c r="F41" s="4" t="n">
        <v>56</v>
      </c>
      <c r="G41" s="4">
        <f>F41*D41</f>
        <v/>
      </c>
      <c r="H41" s="4">
        <f>F41*E41</f>
        <v/>
      </c>
    </row>
    <row r="42">
      <c r="A42" s="2" t="n">
        <v>41</v>
      </c>
      <c r="B42" s="2" t="n"/>
      <c r="C42" s="2" t="inlineStr">
        <is>
          <t>KB85-25022113</t>
        </is>
      </c>
      <c r="D42" s="3" t="n">
        <v>47</v>
      </c>
      <c r="E42" s="3" t="n">
        <v>47</v>
      </c>
      <c r="F42" s="4" t="n">
        <v>56</v>
      </c>
      <c r="G42" s="4">
        <f>F42*D42</f>
        <v/>
      </c>
      <c r="H42" s="4">
        <f>F42*E42</f>
        <v/>
      </c>
    </row>
    <row r="43">
      <c r="A43" s="2" t="n">
        <v>42</v>
      </c>
      <c r="B43" s="2" t="n"/>
      <c r="C43" s="2" t="inlineStr">
        <is>
          <t>KB142-052901</t>
        </is>
      </c>
      <c r="D43" s="3" t="n">
        <v>503</v>
      </c>
      <c r="E43" s="3" t="n">
        <v>503</v>
      </c>
      <c r="F43" s="4" t="n">
        <v>274</v>
      </c>
      <c r="G43" s="4">
        <f>F43*D43</f>
        <v/>
      </c>
      <c r="H43" s="4">
        <f>F43*E43</f>
        <v/>
      </c>
    </row>
    <row r="44">
      <c r="A44" s="2" t="n">
        <v>43</v>
      </c>
      <c r="B44" s="2" t="n"/>
      <c r="C44" s="2" t="inlineStr">
        <is>
          <t>KB405-0827</t>
        </is>
      </c>
      <c r="D44" s="3" t="n">
        <v>323</v>
      </c>
      <c r="E44" s="3" t="n">
        <v>323</v>
      </c>
      <c r="F44" s="4" t="n">
        <v>116</v>
      </c>
      <c r="G44" s="4">
        <f>F44*D44</f>
        <v/>
      </c>
      <c r="H44" s="4">
        <f>F44*E44</f>
        <v/>
      </c>
    </row>
    <row r="45">
      <c r="A45" s="2" t="n">
        <v>44</v>
      </c>
      <c r="B45" s="2" t="n"/>
      <c r="C45" s="2" t="inlineStr">
        <is>
          <t>DCA001</t>
        </is>
      </c>
      <c r="D45" s="3" t="n">
        <v>503</v>
      </c>
      <c r="E45" s="3" t="n">
        <v>503</v>
      </c>
      <c r="F45" s="4" t="n">
        <v>90</v>
      </c>
      <c r="G45" s="4">
        <f>F45*D45</f>
        <v/>
      </c>
      <c r="H45" s="4">
        <f>F45*E45</f>
        <v/>
      </c>
    </row>
    <row r="46">
      <c r="A46" s="2" t="n">
        <v>45</v>
      </c>
      <c r="B46" s="2" t="n"/>
      <c r="C46" s="2" t="inlineStr">
        <is>
          <t>DCA002</t>
        </is>
      </c>
      <c r="D46" s="3" t="n">
        <v>359</v>
      </c>
      <c r="E46" s="3" t="n">
        <v>359</v>
      </c>
      <c r="F46" s="4" t="n">
        <v>74</v>
      </c>
      <c r="G46" s="4">
        <f>F46*D46</f>
        <v/>
      </c>
      <c r="H46" s="4">
        <f>F46*E46</f>
        <v/>
      </c>
    </row>
    <row r="47">
      <c r="A47" s="2" t="n">
        <v>46</v>
      </c>
      <c r="B47" s="2" t="n"/>
      <c r="C47" s="2" t="inlineStr">
        <is>
          <t>KB405-25022110</t>
        </is>
      </c>
      <c r="D47" s="3" t="n">
        <v>679</v>
      </c>
      <c r="E47" s="3" t="n">
        <v>679</v>
      </c>
      <c r="F47" s="4" t="n">
        <v>90</v>
      </c>
      <c r="G47" s="4">
        <f>F47*D47</f>
        <v/>
      </c>
      <c r="H47" s="4">
        <f>F47*E47</f>
        <v/>
      </c>
    </row>
    <row r="48">
      <c r="A48" s="1" t="n"/>
      <c r="B48" s="1" t="n"/>
      <c r="C48" s="1" t="inlineStr">
        <is>
          <t>ИТОГО:</t>
        </is>
      </c>
      <c r="D48" s="5">
        <f>SUM(D2:D47)</f>
        <v/>
      </c>
      <c r="E48" s="5">
        <f>SUM(E2:E47)</f>
        <v/>
      </c>
      <c r="F48" s="6" t="n"/>
      <c r="G48" s="6">
        <f>SUM(G2:G47)</f>
        <v/>
      </c>
      <c r="H48" s="6">
        <f>SUM(H2:H47)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2026-10-16T09:19:26Z</dcterms:created>
  <dcterms:modified xmlns:dcterms="http://purl.org/dc/terms/" xmlns:xsi="http://www.w3.org/2001/XMLSchema-instance" xsi:type="dcterms:W3CDTF">2026-10-16T09:19:26Z</dcterms:modified>
</cp:coreProperties>
</file>